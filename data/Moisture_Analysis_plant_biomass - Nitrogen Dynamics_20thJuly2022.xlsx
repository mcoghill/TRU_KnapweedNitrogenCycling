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netru-my.sharepoint.com/personal/jsingh_tru_ca/Documents/TRU/Nitrogen dynamics/Soil_data/"/>
    </mc:Choice>
  </mc:AlternateContent>
  <xr:revisionPtr revIDLastSave="10" documentId="8_{81AC0114-5020-4A22-A8D5-7659AD29FEDF}" xr6:coauthVersionLast="47" xr6:coauthVersionMax="47" xr10:uidLastSave="{C9DAE4F7-5583-4231-B4EA-AC5F15444487}"/>
  <bookViews>
    <workbookView xWindow="33900" yWindow="4020" windowWidth="21600" windowHeight="11295" activeTab="1" xr2:uid="{00000000-000D-0000-FFFF-FFFF00000000}"/>
  </bookViews>
  <sheets>
    <sheet name="Baseline" sheetId="1" r:id="rId1"/>
    <sheet name="Harvest" sheetId="2" r:id="rId2"/>
  </sheets>
  <definedNames>
    <definedName name="_xlnm.Print_Area" localSheetId="1">Harvest!$A$1:$K$41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" i="2" l="1"/>
  <c r="D7" i="2" l="1"/>
  <c r="H41" i="1"/>
  <c r="F41" i="1"/>
  <c r="H40" i="1"/>
  <c r="F40" i="1"/>
  <c r="I40" i="1" s="1"/>
  <c r="J40" i="1" s="1"/>
  <c r="H39" i="1"/>
  <c r="F39" i="1"/>
  <c r="H38" i="1"/>
  <c r="F38" i="1"/>
  <c r="I38" i="1" s="1"/>
  <c r="J38" i="1" s="1"/>
  <c r="H37" i="1"/>
  <c r="F37" i="1"/>
  <c r="I37" i="1" s="1"/>
  <c r="J37" i="1" s="1"/>
  <c r="H36" i="1"/>
  <c r="F36" i="1"/>
  <c r="I36" i="1" s="1"/>
  <c r="J36" i="1" s="1"/>
  <c r="H35" i="1"/>
  <c r="F35" i="1"/>
  <c r="I35" i="1" s="1"/>
  <c r="J35" i="1" s="1"/>
  <c r="H34" i="1"/>
  <c r="F34" i="1"/>
  <c r="H33" i="1"/>
  <c r="F33" i="1"/>
  <c r="H32" i="1"/>
  <c r="F32" i="1"/>
  <c r="I32" i="1" s="1"/>
  <c r="J32" i="1" s="1"/>
  <c r="H31" i="1"/>
  <c r="F31" i="1"/>
  <c r="H30" i="1"/>
  <c r="F30" i="1"/>
  <c r="I30" i="1" s="1"/>
  <c r="J30" i="1" s="1"/>
  <c r="H29" i="1"/>
  <c r="F29" i="1"/>
  <c r="H28" i="1"/>
  <c r="F28" i="1"/>
  <c r="I28" i="1" s="1"/>
  <c r="J28" i="1" s="1"/>
  <c r="H27" i="1"/>
  <c r="F27" i="1"/>
  <c r="I27" i="1" s="1"/>
  <c r="J27" i="1" s="1"/>
  <c r="H26" i="1"/>
  <c r="F26" i="1"/>
  <c r="I26" i="1" s="1"/>
  <c r="J26" i="1" s="1"/>
  <c r="H25" i="1"/>
  <c r="F25" i="1"/>
  <c r="H24" i="1"/>
  <c r="F24" i="1"/>
  <c r="I24" i="1" s="1"/>
  <c r="J24" i="1" s="1"/>
  <c r="H23" i="1"/>
  <c r="F23" i="1"/>
  <c r="H22" i="1"/>
  <c r="F22" i="1"/>
  <c r="I22" i="1" s="1"/>
  <c r="J22" i="1" s="1"/>
  <c r="H21" i="1"/>
  <c r="F21" i="1"/>
  <c r="H20" i="1"/>
  <c r="F20" i="1"/>
  <c r="I20" i="1" s="1"/>
  <c r="J20" i="1" s="1"/>
  <c r="H19" i="1"/>
  <c r="F19" i="1"/>
  <c r="I19" i="1" s="1"/>
  <c r="J19" i="1" s="1"/>
  <c r="H18" i="1"/>
  <c r="F18" i="1"/>
  <c r="H17" i="1"/>
  <c r="F17" i="1"/>
  <c r="H16" i="1"/>
  <c r="F16" i="1"/>
  <c r="I16" i="1" s="1"/>
  <c r="J16" i="1" s="1"/>
  <c r="H15" i="1"/>
  <c r="F15" i="1"/>
  <c r="H14" i="1"/>
  <c r="F14" i="1"/>
  <c r="H13" i="1"/>
  <c r="F13" i="1"/>
  <c r="I13" i="1" s="1"/>
  <c r="J13" i="1" s="1"/>
  <c r="H12" i="1"/>
  <c r="F12" i="1"/>
  <c r="I12" i="1" s="1"/>
  <c r="J12" i="1" s="1"/>
  <c r="H11" i="1"/>
  <c r="F11" i="1"/>
  <c r="H10" i="1"/>
  <c r="F10" i="1"/>
  <c r="I10" i="1" s="1"/>
  <c r="J10" i="1" s="1"/>
  <c r="H9" i="1"/>
  <c r="F9" i="1"/>
  <c r="I9" i="1" s="1"/>
  <c r="J9" i="1" s="1"/>
  <c r="H8" i="1"/>
  <c r="F8" i="1"/>
  <c r="I8" i="1" s="1"/>
  <c r="J8" i="1" s="1"/>
  <c r="H7" i="1"/>
  <c r="F7" i="1"/>
  <c r="H6" i="1"/>
  <c r="F6" i="1"/>
  <c r="I6" i="1" s="1"/>
  <c r="J6" i="1" s="1"/>
  <c r="H5" i="1"/>
  <c r="F5" i="1"/>
  <c r="H4" i="1"/>
  <c r="F4" i="1"/>
  <c r="I4" i="1" s="1"/>
  <c r="J4" i="1" s="1"/>
  <c r="H3" i="1"/>
  <c r="F3" i="1"/>
  <c r="H2" i="1"/>
  <c r="F2" i="1"/>
  <c r="I41" i="1" l="1"/>
  <c r="J41" i="1" s="1"/>
  <c r="I39" i="1"/>
  <c r="J39" i="1" s="1"/>
  <c r="I34" i="1"/>
  <c r="J34" i="1" s="1"/>
  <c r="I33" i="1"/>
  <c r="J33" i="1" s="1"/>
  <c r="I31" i="1"/>
  <c r="J31" i="1" s="1"/>
  <c r="I29" i="1"/>
  <c r="J29" i="1" s="1"/>
  <c r="I25" i="1"/>
  <c r="J25" i="1" s="1"/>
  <c r="I23" i="1"/>
  <c r="J23" i="1" s="1"/>
  <c r="I21" i="1"/>
  <c r="J21" i="1" s="1"/>
  <c r="I18" i="1"/>
  <c r="J18" i="1" s="1"/>
  <c r="I17" i="1"/>
  <c r="J17" i="1" s="1"/>
  <c r="I15" i="1"/>
  <c r="J15" i="1" s="1"/>
  <c r="I14" i="1"/>
  <c r="J14" i="1" s="1"/>
  <c r="I11" i="1"/>
  <c r="J11" i="1" s="1"/>
  <c r="I7" i="1"/>
  <c r="J7" i="1" s="1"/>
  <c r="I5" i="1"/>
  <c r="J5" i="1" s="1"/>
  <c r="I3" i="1"/>
  <c r="J3" i="1" s="1"/>
  <c r="I2" i="1"/>
  <c r="J2" i="1" s="1"/>
</calcChain>
</file>

<file path=xl/sharedStrings.xml><?xml version="1.0" encoding="utf-8"?>
<sst xmlns="http://schemas.openxmlformats.org/spreadsheetml/2006/main" count="255" uniqueCount="98">
  <si>
    <t>Treatment</t>
  </si>
  <si>
    <t>Sample Code</t>
  </si>
  <si>
    <t>Timepoint</t>
  </si>
  <si>
    <t>Tin Weight (g)</t>
  </si>
  <si>
    <t>Tin+soil_wet (g)</t>
  </si>
  <si>
    <t>Soil_wet (g)</t>
  </si>
  <si>
    <t>Tin+soil_dry (g)</t>
  </si>
  <si>
    <t>Soil_dry (g)</t>
  </si>
  <si>
    <t>Water Weight (g)</t>
  </si>
  <si>
    <t>Moisture Content (%)</t>
  </si>
  <si>
    <t>Yarrow</t>
  </si>
  <si>
    <t>BY1</t>
  </si>
  <si>
    <t>Baseline</t>
  </si>
  <si>
    <t>BY2</t>
  </si>
  <si>
    <t>BY3</t>
  </si>
  <si>
    <t>BY4</t>
  </si>
  <si>
    <t>BY5</t>
  </si>
  <si>
    <t>BY6</t>
  </si>
  <si>
    <t>BY7</t>
  </si>
  <si>
    <t>BY8</t>
  </si>
  <si>
    <t>BY9</t>
  </si>
  <si>
    <t>BY10</t>
  </si>
  <si>
    <t>Vetch</t>
  </si>
  <si>
    <t>BV1</t>
  </si>
  <si>
    <t>BV2</t>
  </si>
  <si>
    <t>BV3</t>
  </si>
  <si>
    <t>BV4</t>
  </si>
  <si>
    <t>BV5</t>
  </si>
  <si>
    <t>BV6</t>
  </si>
  <si>
    <t>BV7</t>
  </si>
  <si>
    <t>BV8</t>
  </si>
  <si>
    <t>BV9</t>
  </si>
  <si>
    <t>BV10</t>
  </si>
  <si>
    <t>Control</t>
  </si>
  <si>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</si>
  <si>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</si>
  <si>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</si>
  <si>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</si>
  <si>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</si>
  <si>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</si>
  <si>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</si>
  <si>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</si>
  <si>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</si>
  <si>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BC10</t>
  </si>
  <si>
    <t>Knapweed</t>
  </si>
  <si>
    <t>BK1</t>
  </si>
  <si>
    <t>BK2</t>
  </si>
  <si>
    <t>BK3</t>
  </si>
  <si>
    <t>BK4</t>
  </si>
  <si>
    <t>BK5</t>
  </si>
  <si>
    <t>BK6</t>
  </si>
  <si>
    <t>BK7</t>
  </si>
  <si>
    <t>BK8</t>
  </si>
  <si>
    <t>BK9</t>
  </si>
  <si>
    <t>BK10</t>
  </si>
  <si>
    <t>HY1</t>
  </si>
  <si>
    <t>Harvest</t>
  </si>
  <si>
    <t>HY2</t>
  </si>
  <si>
    <t>HY3</t>
  </si>
  <si>
    <t>HY4</t>
  </si>
  <si>
    <t>HY5</t>
  </si>
  <si>
    <t>HY6</t>
  </si>
  <si>
    <t>HY7</t>
  </si>
  <si>
    <t>HY8</t>
  </si>
  <si>
    <t>HY9</t>
  </si>
  <si>
    <t>HY10</t>
  </si>
  <si>
    <t>HV1</t>
  </si>
  <si>
    <t>HV2</t>
  </si>
  <si>
    <t>HV3</t>
  </si>
  <si>
    <t>HV4</t>
  </si>
  <si>
    <t>HV5</t>
  </si>
  <si>
    <t>HV6</t>
  </si>
  <si>
    <t>HV7</t>
  </si>
  <si>
    <t>HV8</t>
  </si>
  <si>
    <t>HV9</t>
  </si>
  <si>
    <t>HV10</t>
  </si>
  <si>
    <t>HC1</t>
  </si>
  <si>
    <t>HC2</t>
  </si>
  <si>
    <t>HC3</t>
  </si>
  <si>
    <t>HC4</t>
  </si>
  <si>
    <t>HC5</t>
  </si>
  <si>
    <t>HC6</t>
  </si>
  <si>
    <t>HC7</t>
  </si>
  <si>
    <t>HC8</t>
  </si>
  <si>
    <t>HC9</t>
  </si>
  <si>
    <t>HC10</t>
  </si>
  <si>
    <t>HK1</t>
  </si>
  <si>
    <t>HK2</t>
  </si>
  <si>
    <t>HK3</t>
  </si>
  <si>
    <t>HK4</t>
  </si>
  <si>
    <t>HK5</t>
  </si>
  <si>
    <t>HK6</t>
  </si>
  <si>
    <t>HK7</t>
  </si>
  <si>
    <t>HK8</t>
  </si>
  <si>
    <t>HK9</t>
  </si>
  <si>
    <t>HK10</t>
  </si>
  <si>
    <t>shoot_biomass</t>
  </si>
  <si>
    <t>root_biomass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</si>
</sst>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1"/>
  <sheetViews>
    <sheetView workbookViewId="0">
      <selection sqref="A1:C41"/>
    </sheetView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>
        <v>1.26</v>
      </c>
      <c r="E2" s="1">
        <v>6.0830000000000002</v>
      </c>
      <c r="F2" s="1">
        <f t="shared" ref="F2:F41" si="0">E2-D2</f>
        <v>4.8230000000000004</v>
      </c>
      <c r="G2">
        <v>5.33</v>
      </c>
      <c r="H2" s="1">
        <f t="shared" ref="H2:H41" si="1">G2-D2</f>
        <v>4.07</v>
      </c>
      <c r="I2" s="1">
        <f t="shared" ref="I2:I41" si="2">F2-H2</f>
        <v>0.75300000000000011</v>
      </c>
      <c r="J2" s="1">
        <f t="shared" ref="J2:J41" si="3">(I2/F2)*100</f>
        <v>15.612689197594859</v>
      </c>
    </row>
    <row r="3" spans="1:10" x14ac:dyDescent="0.2">
      <c r="A3" s="1" t="s">
        <v>10</v>
      </c>
      <c r="B3" s="1" t="s">
        <v>13</v>
      </c>
      <c r="C3" s="1" t="s">
        <v>12</v>
      </c>
      <c r="D3" s="1">
        <v>1.266</v>
      </c>
      <c r="E3" s="1">
        <v>6.2610000000000001</v>
      </c>
      <c r="F3" s="1">
        <f t="shared" si="0"/>
        <v>4.9950000000000001</v>
      </c>
      <c r="G3">
        <v>5.4509999999999996</v>
      </c>
      <c r="H3" s="1">
        <f t="shared" si="1"/>
        <v>4.1849999999999996</v>
      </c>
      <c r="I3" s="1">
        <f t="shared" si="2"/>
        <v>0.8100000000000005</v>
      </c>
      <c r="J3" s="1">
        <f t="shared" si="3"/>
        <v>16.216216216216225</v>
      </c>
    </row>
    <row r="4" spans="1:10" x14ac:dyDescent="0.2">
      <c r="A4" s="1" t="s">
        <v>10</v>
      </c>
      <c r="B4" s="1" t="s">
        <v>14</v>
      </c>
      <c r="C4" s="1" t="s">
        <v>12</v>
      </c>
      <c r="D4" s="1">
        <v>1.258</v>
      </c>
      <c r="E4" s="1">
        <v>5.9770000000000003</v>
      </c>
      <c r="F4" s="1">
        <f t="shared" si="0"/>
        <v>4.7190000000000003</v>
      </c>
      <c r="G4">
        <v>5.2519999999999998</v>
      </c>
      <c r="H4" s="1">
        <f t="shared" si="1"/>
        <v>3.9939999999999998</v>
      </c>
      <c r="I4" s="1">
        <f t="shared" si="2"/>
        <v>0.72500000000000053</v>
      </c>
      <c r="J4" s="1">
        <f t="shared" si="3"/>
        <v>15.363424454333554</v>
      </c>
    </row>
    <row r="5" spans="1:10" x14ac:dyDescent="0.2">
      <c r="A5" s="1" t="s">
        <v>10</v>
      </c>
      <c r="B5" s="1" t="s">
        <v>15</v>
      </c>
      <c r="C5" s="1" t="s">
        <v>12</v>
      </c>
      <c r="D5" s="1">
        <v>1.258</v>
      </c>
      <c r="E5" s="1">
        <v>6.08</v>
      </c>
      <c r="F5" s="1">
        <f t="shared" si="0"/>
        <v>4.8220000000000001</v>
      </c>
      <c r="G5">
        <v>5.3140000000000001</v>
      </c>
      <c r="H5" s="1">
        <f t="shared" si="1"/>
        <v>4.056</v>
      </c>
      <c r="I5" s="1">
        <f t="shared" si="2"/>
        <v>0.76600000000000001</v>
      </c>
      <c r="J5" s="1">
        <f t="shared" si="3"/>
        <v>15.885524678556614</v>
      </c>
    </row>
    <row r="6" spans="1:10" x14ac:dyDescent="0.2">
      <c r="A6" s="1" t="s">
        <v>10</v>
      </c>
      <c r="B6" s="1" t="s">
        <v>16</v>
      </c>
      <c r="C6" s="1" t="s">
        <v>12</v>
      </c>
      <c r="D6" s="1">
        <v>1.2669999999999999</v>
      </c>
      <c r="E6" s="1">
        <v>5.774</v>
      </c>
      <c r="F6" s="1">
        <f t="shared" si="0"/>
        <v>4.5069999999999997</v>
      </c>
      <c r="G6">
        <v>5.2069999999999999</v>
      </c>
      <c r="H6" s="1">
        <f t="shared" si="1"/>
        <v>3.94</v>
      </c>
      <c r="I6" s="1">
        <f t="shared" si="2"/>
        <v>0.56699999999999973</v>
      </c>
      <c r="J6" s="1">
        <f t="shared" si="3"/>
        <v>12.580430441535384</v>
      </c>
    </row>
    <row r="7" spans="1:10" x14ac:dyDescent="0.2">
      <c r="A7" s="1" t="s">
        <v>10</v>
      </c>
      <c r="B7" s="1" t="s">
        <v>17</v>
      </c>
      <c r="C7" s="1" t="s">
        <v>12</v>
      </c>
      <c r="D7" s="1">
        <v>1.25</v>
      </c>
      <c r="E7" s="1">
        <v>5.9189999999999996</v>
      </c>
      <c r="F7" s="1">
        <f t="shared" si="0"/>
        <v>4.6689999999999996</v>
      </c>
      <c r="G7">
        <v>5.12</v>
      </c>
      <c r="H7" s="1">
        <f t="shared" si="1"/>
        <v>3.87</v>
      </c>
      <c r="I7" s="1">
        <f t="shared" si="2"/>
        <v>0.79899999999999949</v>
      </c>
      <c r="J7" s="1">
        <f t="shared" si="3"/>
        <v>17.112872135360881</v>
      </c>
    </row>
    <row r="8" spans="1:10" x14ac:dyDescent="0.2">
      <c r="A8" s="1" t="s">
        <v>10</v>
      </c>
      <c r="B8" s="1" t="s">
        <v>18</v>
      </c>
      <c r="C8" s="1" t="s">
        <v>12</v>
      </c>
      <c r="D8" s="1">
        <v>1.2569999999999999</v>
      </c>
      <c r="E8" s="1">
        <v>5.81</v>
      </c>
      <c r="F8" s="1">
        <f t="shared" si="0"/>
        <v>4.5529999999999999</v>
      </c>
      <c r="G8">
        <v>5.08</v>
      </c>
      <c r="H8" s="1">
        <f t="shared" si="1"/>
        <v>3.8230000000000004</v>
      </c>
      <c r="I8" s="1">
        <f t="shared" si="2"/>
        <v>0.72999999999999954</v>
      </c>
      <c r="J8" s="1">
        <f t="shared" si="3"/>
        <v>16.033384581594543</v>
      </c>
    </row>
    <row r="9" spans="1:10" x14ac:dyDescent="0.2">
      <c r="A9" s="1" t="s">
        <v>10</v>
      </c>
      <c r="B9" s="1" t="s">
        <v>19</v>
      </c>
      <c r="C9" s="1" t="s">
        <v>12</v>
      </c>
      <c r="D9" s="1">
        <v>1.2589999999999999</v>
      </c>
      <c r="E9" s="1">
        <v>5.8319999999999999</v>
      </c>
      <c r="F9" s="1">
        <f t="shared" si="0"/>
        <v>4.5730000000000004</v>
      </c>
      <c r="G9">
        <v>5.0529999999999999</v>
      </c>
      <c r="H9" s="1">
        <f t="shared" si="1"/>
        <v>3.794</v>
      </c>
      <c r="I9" s="1">
        <f t="shared" si="2"/>
        <v>0.77900000000000036</v>
      </c>
      <c r="J9" s="1">
        <f t="shared" si="3"/>
        <v>17.034769298053799</v>
      </c>
    </row>
    <row r="10" spans="1:10" x14ac:dyDescent="0.2">
      <c r="A10" s="1" t="s">
        <v>10</v>
      </c>
      <c r="B10" s="1" t="s">
        <v>20</v>
      </c>
      <c r="C10" s="1" t="s">
        <v>12</v>
      </c>
      <c r="D10" s="1">
        <v>1.2569999999999999</v>
      </c>
      <c r="E10" s="1">
        <v>5.8959999999999999</v>
      </c>
      <c r="F10" s="1">
        <f t="shared" si="0"/>
        <v>4.6390000000000002</v>
      </c>
      <c r="G10">
        <v>5.1260000000000003</v>
      </c>
      <c r="H10" s="1">
        <f t="shared" si="1"/>
        <v>3.8690000000000007</v>
      </c>
      <c r="I10" s="1">
        <f t="shared" si="2"/>
        <v>0.76999999999999957</v>
      </c>
      <c r="J10" s="1">
        <f t="shared" si="3"/>
        <v>16.598404828626851</v>
      </c>
    </row>
    <row r="11" spans="1:10" x14ac:dyDescent="0.2">
      <c r="A11" s="1" t="s">
        <v>10</v>
      </c>
      <c r="B11" s="1" t="s">
        <v>21</v>
      </c>
      <c r="C11" s="1" t="s">
        <v>12</v>
      </c>
      <c r="D11" s="1">
        <v>1.25</v>
      </c>
      <c r="E11" s="1">
        <v>6.0819999999999999</v>
      </c>
      <c r="F11" s="1">
        <f t="shared" si="0"/>
        <v>4.8319999999999999</v>
      </c>
      <c r="G11">
        <v>5.4269999999999996</v>
      </c>
      <c r="H11" s="1">
        <f t="shared" si="1"/>
        <v>4.1769999999999996</v>
      </c>
      <c r="I11" s="1">
        <f t="shared" si="2"/>
        <v>0.65500000000000025</v>
      </c>
      <c r="J11" s="1">
        <f t="shared" si="3"/>
        <v>13.555463576158946</v>
      </c>
    </row>
    <row r="12" spans="1:10" x14ac:dyDescent="0.2">
      <c r="A12" s="1" t="s">
        <v>22</v>
      </c>
      <c r="B12" s="1" t="s">
        <v>23</v>
      </c>
      <c r="C12" s="1" t="s">
        <v>12</v>
      </c>
      <c r="D12" s="1">
        <v>1.2589999999999999</v>
      </c>
      <c r="E12" s="1">
        <v>6.1269999999999998</v>
      </c>
      <c r="F12" s="1">
        <f t="shared" si="0"/>
        <v>4.8680000000000003</v>
      </c>
      <c r="G12">
        <v>5.4470000000000001</v>
      </c>
      <c r="H12" s="1">
        <f t="shared" si="1"/>
        <v>4.1880000000000006</v>
      </c>
      <c r="I12" s="1">
        <f t="shared" si="2"/>
        <v>0.67999999999999972</v>
      </c>
      <c r="J12" s="1">
        <f t="shared" si="3"/>
        <v>13.968775677896462</v>
      </c>
    </row>
    <row r="13" spans="1:10" x14ac:dyDescent="0.2">
      <c r="A13" s="1" t="s">
        <v>22</v>
      </c>
      <c r="B13" s="1" t="s">
        <v>24</v>
      </c>
      <c r="C13" s="1" t="s">
        <v>12</v>
      </c>
      <c r="D13" s="1">
        <v>1.2629999999999999</v>
      </c>
      <c r="E13" s="1">
        <v>5.899</v>
      </c>
      <c r="F13" s="1">
        <f t="shared" si="0"/>
        <v>4.6360000000000001</v>
      </c>
      <c r="G13">
        <v>5.17</v>
      </c>
      <c r="H13" s="1">
        <f t="shared" si="1"/>
        <v>3.907</v>
      </c>
      <c r="I13" s="1">
        <f t="shared" si="2"/>
        <v>0.72900000000000009</v>
      </c>
      <c r="J13" s="1">
        <f t="shared" si="3"/>
        <v>15.724762726488354</v>
      </c>
    </row>
    <row r="14" spans="1:10" x14ac:dyDescent="0.2">
      <c r="A14" s="1" t="s">
        <v>22</v>
      </c>
      <c r="B14" s="1" t="s">
        <v>25</v>
      </c>
      <c r="C14" s="1" t="s">
        <v>12</v>
      </c>
      <c r="D14" s="1">
        <v>1.254</v>
      </c>
      <c r="E14" s="1">
        <v>5.766</v>
      </c>
      <c r="F14" s="1">
        <f t="shared" si="0"/>
        <v>4.5120000000000005</v>
      </c>
      <c r="G14">
        <v>5.2270000000000003</v>
      </c>
      <c r="H14" s="1">
        <f t="shared" si="1"/>
        <v>3.9730000000000003</v>
      </c>
      <c r="I14" s="1">
        <f t="shared" si="2"/>
        <v>0.53900000000000015</v>
      </c>
      <c r="J14" s="1">
        <f t="shared" si="3"/>
        <v>11.945921985815605</v>
      </c>
    </row>
    <row r="15" spans="1:10" x14ac:dyDescent="0.2">
      <c r="A15" s="1" t="s">
        <v>22</v>
      </c>
      <c r="B15" s="1" t="s">
        <v>26</v>
      </c>
      <c r="C15" s="1" t="s">
        <v>12</v>
      </c>
      <c r="D15" s="1">
        <v>1.248</v>
      </c>
      <c r="E15" s="1">
        <v>5.93</v>
      </c>
      <c r="F15" s="1">
        <f t="shared" si="0"/>
        <v>4.6819999999999995</v>
      </c>
      <c r="G15">
        <v>5.1239999999999997</v>
      </c>
      <c r="H15" s="1">
        <f t="shared" si="1"/>
        <v>3.8759999999999994</v>
      </c>
      <c r="I15" s="1">
        <f t="shared" si="2"/>
        <v>0.80600000000000005</v>
      </c>
      <c r="J15" s="1">
        <f t="shared" si="3"/>
        <v>17.214865442118757</v>
      </c>
    </row>
    <row r="16" spans="1:10" x14ac:dyDescent="0.2">
      <c r="A16" s="1" t="s">
        <v>22</v>
      </c>
      <c r="B16" s="1" t="s">
        <v>27</v>
      </c>
      <c r="C16" s="1" t="s">
        <v>12</v>
      </c>
      <c r="D16" s="1">
        <v>1.262</v>
      </c>
      <c r="E16" s="1">
        <v>5.8129999999999997</v>
      </c>
      <c r="F16" s="1">
        <f t="shared" si="0"/>
        <v>4.5510000000000002</v>
      </c>
      <c r="G16">
        <v>5.15</v>
      </c>
      <c r="H16" s="1">
        <f t="shared" si="1"/>
        <v>3.8880000000000003</v>
      </c>
      <c r="I16" s="1">
        <f t="shared" si="2"/>
        <v>0.66299999999999981</v>
      </c>
      <c r="J16" s="1">
        <f t="shared" si="3"/>
        <v>14.56822676334871</v>
      </c>
    </row>
    <row r="17" spans="1:10" x14ac:dyDescent="0.2">
      <c r="A17" s="1" t="s">
        <v>22</v>
      </c>
      <c r="B17" s="1" t="s">
        <v>28</v>
      </c>
      <c r="C17" s="1" t="s">
        <v>12</v>
      </c>
      <c r="D17" s="1">
        <v>1.2689999999999999</v>
      </c>
      <c r="E17" s="1">
        <v>5.85</v>
      </c>
      <c r="F17" s="1">
        <f t="shared" si="0"/>
        <v>4.5809999999999995</v>
      </c>
      <c r="G17">
        <v>5.18</v>
      </c>
      <c r="H17" s="1">
        <f t="shared" si="1"/>
        <v>3.9109999999999996</v>
      </c>
      <c r="I17" s="1">
        <f t="shared" si="2"/>
        <v>0.66999999999999993</v>
      </c>
      <c r="J17" s="1">
        <f t="shared" si="3"/>
        <v>14.625627592228771</v>
      </c>
    </row>
    <row r="18" spans="1:10" x14ac:dyDescent="0.2">
      <c r="A18" s="1" t="s">
        <v>22</v>
      </c>
      <c r="B18" s="1" t="s">
        <v>29</v>
      </c>
      <c r="C18" s="1" t="s">
        <v>12</v>
      </c>
      <c r="D18" s="1">
        <v>1.266</v>
      </c>
      <c r="E18" s="1">
        <v>6.2610000000000001</v>
      </c>
      <c r="F18" s="1">
        <f t="shared" si="0"/>
        <v>4.9950000000000001</v>
      </c>
      <c r="G18">
        <v>5.4960000000000004</v>
      </c>
      <c r="H18" s="1">
        <f t="shared" si="1"/>
        <v>4.2300000000000004</v>
      </c>
      <c r="I18" s="1">
        <f t="shared" si="2"/>
        <v>0.76499999999999968</v>
      </c>
      <c r="J18" s="1">
        <f t="shared" si="3"/>
        <v>15.315315315315308</v>
      </c>
    </row>
    <row r="19" spans="1:10" x14ac:dyDescent="0.2">
      <c r="A19" s="1" t="s">
        <v>22</v>
      </c>
      <c r="B19" s="1" t="s">
        <v>30</v>
      </c>
      <c r="C19" s="1" t="s">
        <v>12</v>
      </c>
      <c r="D19" s="1">
        <v>1.27</v>
      </c>
      <c r="E19" s="1">
        <v>6.1079999999999997</v>
      </c>
      <c r="F19" s="1">
        <f t="shared" si="0"/>
        <v>4.8379999999999992</v>
      </c>
      <c r="G19">
        <v>5.2469999999999999</v>
      </c>
      <c r="H19" s="1">
        <f t="shared" si="1"/>
        <v>3.9769999999999999</v>
      </c>
      <c r="I19" s="1">
        <f t="shared" si="2"/>
        <v>0.86099999999999932</v>
      </c>
      <c r="J19" s="1">
        <f t="shared" si="3"/>
        <v>17.796610169491515</v>
      </c>
    </row>
    <row r="20" spans="1:10" x14ac:dyDescent="0.2">
      <c r="A20" s="1" t="s">
        <v>22</v>
      </c>
      <c r="B20" s="1" t="s">
        <v>31</v>
      </c>
      <c r="C20" s="1" t="s">
        <v>12</v>
      </c>
      <c r="D20" s="1">
        <v>1.2649999999999999</v>
      </c>
      <c r="E20" s="1">
        <v>6.1319999999999997</v>
      </c>
      <c r="F20" s="1">
        <f t="shared" si="0"/>
        <v>4.867</v>
      </c>
      <c r="G20">
        <v>5.1879999999999997</v>
      </c>
      <c r="H20" s="1">
        <f t="shared" si="1"/>
        <v>3.923</v>
      </c>
      <c r="I20" s="1">
        <f t="shared" si="2"/>
        <v>0.94399999999999995</v>
      </c>
      <c r="J20" s="1">
        <f t="shared" si="3"/>
        <v>19.395931785494145</v>
      </c>
    </row>
    <row r="21" spans="1:10" x14ac:dyDescent="0.2">
      <c r="A21" s="1" t="s">
        <v>22</v>
      </c>
      <c r="B21" s="1" t="s">
        <v>32</v>
      </c>
      <c r="C21" s="1" t="s">
        <v>12</v>
      </c>
      <c r="D21" s="1">
        <v>1.2749999999999999</v>
      </c>
      <c r="E21" s="1">
        <v>5.9539999999999997</v>
      </c>
      <c r="F21" s="1">
        <f t="shared" si="0"/>
        <v>4.6790000000000003</v>
      </c>
      <c r="G21">
        <v>5.1950000000000003</v>
      </c>
      <c r="H21" s="1">
        <f t="shared" si="1"/>
        <v>3.9200000000000004</v>
      </c>
      <c r="I21" s="1">
        <f t="shared" si="2"/>
        <v>0.7589999999999999</v>
      </c>
      <c r="J21" s="1">
        <f t="shared" si="3"/>
        <v>16.221414832229105</v>
      </c>
    </row>
    <row r="22" spans="1:10" x14ac:dyDescent="0.2">
      <c r="A22" s="1" t="s">
        <v>33</v>
      </c>
      <c r="B22" s="1" t="s">
        <v>34</v>
      </c>
      <c r="C22" s="1" t="s">
        <v>12</v>
      </c>
      <c r="D22" s="1">
        <v>1.2829999999999999</v>
      </c>
      <c r="E22" s="1">
        <v>5.8369999999999997</v>
      </c>
      <c r="F22" s="1">
        <f t="shared" si="0"/>
        <v>4.5540000000000003</v>
      </c>
      <c r="G22">
        <v>4.9530000000000003</v>
      </c>
      <c r="H22" s="1">
        <f t="shared" si="1"/>
        <v>3.6700000000000004</v>
      </c>
      <c r="I22" s="1">
        <f t="shared" si="2"/>
        <v>0.8839999999999999</v>
      </c>
      <c r="J22" s="1">
        <f t="shared" si="3"/>
        <v>19.411506368028103</v>
      </c>
    </row>
    <row r="23" spans="1:10" x14ac:dyDescent="0.2">
      <c r="A23" s="1" t="s">
        <v>33</v>
      </c>
      <c r="B23" s="1" t="s">
        <v>35</v>
      </c>
      <c r="C23" s="1" t="s">
        <v>12</v>
      </c>
      <c r="D23" s="1">
        <v>1.2769999999999999</v>
      </c>
      <c r="E23" s="1">
        <v>5.8520000000000003</v>
      </c>
      <c r="F23" s="1">
        <f t="shared" si="0"/>
        <v>4.5750000000000002</v>
      </c>
      <c r="G23">
        <v>4.9429999999999996</v>
      </c>
      <c r="H23" s="1">
        <f t="shared" si="1"/>
        <v>3.6659999999999995</v>
      </c>
      <c r="I23" s="1">
        <f t="shared" si="2"/>
        <v>0.9090000000000007</v>
      </c>
      <c r="J23" s="1">
        <f t="shared" si="3"/>
        <v>19.868852459016409</v>
      </c>
    </row>
    <row r="24" spans="1:10" x14ac:dyDescent="0.2">
      <c r="A24" s="1" t="s">
        <v>33</v>
      </c>
      <c r="B24" s="1" t="s">
        <v>36</v>
      </c>
      <c r="C24" s="1" t="s">
        <v>12</v>
      </c>
      <c r="D24" s="1">
        <v>1.2709999999999999</v>
      </c>
      <c r="E24" s="1">
        <v>5.8789999999999996</v>
      </c>
      <c r="F24" s="1">
        <f t="shared" si="0"/>
        <v>4.6079999999999997</v>
      </c>
      <c r="G24">
        <v>5.0330000000000004</v>
      </c>
      <c r="H24" s="1">
        <f t="shared" si="1"/>
        <v>3.7620000000000005</v>
      </c>
      <c r="I24" s="1">
        <f t="shared" si="2"/>
        <v>0.8459999999999992</v>
      </c>
      <c r="J24" s="1">
        <f t="shared" si="3"/>
        <v>18.359374999999982</v>
      </c>
    </row>
    <row r="25" spans="1:10" x14ac:dyDescent="0.2">
      <c r="A25" s="1" t="s">
        <v>33</v>
      </c>
      <c r="B25" s="1" t="s">
        <v>37</v>
      </c>
      <c r="C25" s="1" t="s">
        <v>12</v>
      </c>
      <c r="D25" s="1">
        <v>1.274</v>
      </c>
      <c r="E25" s="1">
        <v>5.9359999999999999</v>
      </c>
      <c r="F25" s="1">
        <f t="shared" si="0"/>
        <v>4.6619999999999999</v>
      </c>
      <c r="G25">
        <v>5.0190000000000001</v>
      </c>
      <c r="H25" s="1">
        <f t="shared" si="1"/>
        <v>3.7450000000000001</v>
      </c>
      <c r="I25" s="1">
        <f t="shared" si="2"/>
        <v>0.91699999999999982</v>
      </c>
      <c r="J25" s="1">
        <f t="shared" si="3"/>
        <v>19.669669669669666</v>
      </c>
    </row>
    <row r="26" spans="1:10" x14ac:dyDescent="0.2">
      <c r="A26" s="1" t="s">
        <v>33</v>
      </c>
      <c r="B26" s="1" t="s">
        <v>38</v>
      </c>
      <c r="C26" s="1" t="s">
        <v>12</v>
      </c>
      <c r="D26" s="1">
        <v>1.276</v>
      </c>
      <c r="E26" s="1">
        <v>5.9420000000000002</v>
      </c>
      <c r="F26" s="1">
        <f t="shared" si="0"/>
        <v>4.6660000000000004</v>
      </c>
      <c r="G26">
        <v>5.1520000000000001</v>
      </c>
      <c r="H26" s="1">
        <f t="shared" si="1"/>
        <v>3.8760000000000003</v>
      </c>
      <c r="I26" s="1">
        <f t="shared" si="2"/>
        <v>0.79</v>
      </c>
      <c r="J26" s="1">
        <f t="shared" si="3"/>
        <v>16.930990141448778</v>
      </c>
    </row>
    <row r="27" spans="1:10" x14ac:dyDescent="0.2">
      <c r="A27" s="1" t="s">
        <v>33</v>
      </c>
      <c r="B27" s="1" t="s">
        <v>39</v>
      </c>
      <c r="C27" s="1" t="s">
        <v>12</v>
      </c>
      <c r="D27" s="1">
        <v>1.266</v>
      </c>
      <c r="E27" s="1">
        <v>5.8769999999999998</v>
      </c>
      <c r="F27" s="1">
        <f t="shared" si="0"/>
        <v>4.6109999999999998</v>
      </c>
      <c r="G27">
        <v>5.101</v>
      </c>
      <c r="H27" s="1">
        <f t="shared" si="1"/>
        <v>3.835</v>
      </c>
      <c r="I27" s="1">
        <f t="shared" si="2"/>
        <v>0.7759999999999998</v>
      </c>
      <c r="J27" s="1">
        <f t="shared" si="3"/>
        <v>16.829321188462369</v>
      </c>
    </row>
    <row r="28" spans="1:10" x14ac:dyDescent="0.2">
      <c r="A28" s="1" t="s">
        <v>33</v>
      </c>
      <c r="B28" s="1" t="s">
        <v>40</v>
      </c>
      <c r="C28" s="1" t="s">
        <v>12</v>
      </c>
      <c r="D28" s="1">
        <v>1.2649999999999999</v>
      </c>
      <c r="E28" s="1">
        <v>5.7910000000000004</v>
      </c>
      <c r="F28" s="1">
        <f t="shared" si="0"/>
        <v>4.5260000000000007</v>
      </c>
      <c r="G28">
        <v>4.8230000000000004</v>
      </c>
      <c r="H28" s="1">
        <f t="shared" si="1"/>
        <v>3.5580000000000007</v>
      </c>
      <c r="I28" s="1">
        <f t="shared" si="2"/>
        <v>0.96799999999999997</v>
      </c>
      <c r="J28" s="1">
        <f t="shared" si="3"/>
        <v>21.387538665488286</v>
      </c>
    </row>
    <row r="29" spans="1:10" x14ac:dyDescent="0.2">
      <c r="A29" s="1" t="s">
        <v>33</v>
      </c>
      <c r="B29" s="1" t="s">
        <v>41</v>
      </c>
      <c r="C29" s="1" t="s">
        <v>12</v>
      </c>
      <c r="D29" s="1">
        <v>1.27</v>
      </c>
      <c r="E29" s="1">
        <v>6.1550000000000002</v>
      </c>
      <c r="F29" s="1">
        <f t="shared" si="0"/>
        <v>4.8849999999999998</v>
      </c>
      <c r="G29">
        <v>5.1520000000000001</v>
      </c>
      <c r="H29" s="1">
        <f t="shared" si="1"/>
        <v>3.8820000000000001</v>
      </c>
      <c r="I29" s="1">
        <f t="shared" si="2"/>
        <v>1.0029999999999997</v>
      </c>
      <c r="J29" s="1">
        <f t="shared" si="3"/>
        <v>20.532241555783003</v>
      </c>
    </row>
    <row r="30" spans="1:10" x14ac:dyDescent="0.2">
      <c r="A30" s="1" t="s">
        <v>33</v>
      </c>
      <c r="B30" s="1" t="s">
        <v>42</v>
      </c>
      <c r="C30" s="1" t="s">
        <v>12</v>
      </c>
      <c r="D30" s="1">
        <v>1.2689999999999999</v>
      </c>
      <c r="E30" s="1">
        <v>5.9119999999999999</v>
      </c>
      <c r="F30" s="1">
        <f t="shared" si="0"/>
        <v>4.6429999999999998</v>
      </c>
      <c r="G30">
        <v>4.968</v>
      </c>
      <c r="H30" s="1">
        <f t="shared" si="1"/>
        <v>3.6989999999999998</v>
      </c>
      <c r="I30" s="1">
        <f t="shared" si="2"/>
        <v>0.94399999999999995</v>
      </c>
      <c r="J30" s="1">
        <f t="shared" si="3"/>
        <v>20.331682102089164</v>
      </c>
    </row>
    <row r="31" spans="1:10" x14ac:dyDescent="0.2">
      <c r="A31" s="1" t="s">
        <v>33</v>
      </c>
      <c r="B31" s="1" t="s">
        <v>43</v>
      </c>
      <c r="C31" s="1" t="s">
        <v>12</v>
      </c>
      <c r="D31" s="1">
        <v>1.2669999999999999</v>
      </c>
      <c r="E31" s="1">
        <v>6.1340000000000003</v>
      </c>
      <c r="F31" s="1">
        <f t="shared" si="0"/>
        <v>4.8670000000000009</v>
      </c>
      <c r="G31">
        <v>4.9489999999999998</v>
      </c>
      <c r="H31" s="1">
        <f t="shared" si="1"/>
        <v>3.6819999999999999</v>
      </c>
      <c r="I31" s="1">
        <f t="shared" si="2"/>
        <v>1.1850000000000009</v>
      </c>
      <c r="J31" s="1">
        <f t="shared" si="3"/>
        <v>24.347647421409508</v>
      </c>
    </row>
    <row r="32" spans="1:10" x14ac:dyDescent="0.2">
      <c r="A32" s="1" t="s">
        <v>44</v>
      </c>
      <c r="B32" s="1" t="s">
        <v>45</v>
      </c>
      <c r="C32" s="1" t="s">
        <v>12</v>
      </c>
      <c r="D32" s="1">
        <v>1.264</v>
      </c>
      <c r="E32" s="1">
        <v>6.0880000000000001</v>
      </c>
      <c r="F32" s="1">
        <f t="shared" si="0"/>
        <v>4.8239999999999998</v>
      </c>
      <c r="G32">
        <v>5.35</v>
      </c>
      <c r="H32" s="1">
        <f t="shared" si="1"/>
        <v>4.0859999999999994</v>
      </c>
      <c r="I32" s="1">
        <f t="shared" si="2"/>
        <v>0.73800000000000043</v>
      </c>
      <c r="J32" s="1">
        <f t="shared" si="3"/>
        <v>15.298507462686578</v>
      </c>
    </row>
    <row r="33" spans="1:10" x14ac:dyDescent="0.2">
      <c r="A33" s="1" t="s">
        <v>44</v>
      </c>
      <c r="B33" s="1" t="s">
        <v>46</v>
      </c>
      <c r="C33" s="1" t="s">
        <v>12</v>
      </c>
      <c r="D33" s="1">
        <v>1.266</v>
      </c>
      <c r="E33" s="1">
        <v>5.9329999999999998</v>
      </c>
      <c r="F33" s="1">
        <f t="shared" si="0"/>
        <v>4.6669999999999998</v>
      </c>
      <c r="G33">
        <v>5.1040000000000001</v>
      </c>
      <c r="H33" s="1">
        <f t="shared" si="1"/>
        <v>3.8380000000000001</v>
      </c>
      <c r="I33" s="1">
        <f t="shared" si="2"/>
        <v>0.82899999999999974</v>
      </c>
      <c r="J33" s="1">
        <f t="shared" si="3"/>
        <v>17.763016927362326</v>
      </c>
    </row>
    <row r="34" spans="1:10" x14ac:dyDescent="0.2">
      <c r="A34" s="1" t="s">
        <v>44</v>
      </c>
      <c r="B34" s="1" t="s">
        <v>47</v>
      </c>
      <c r="C34" s="1" t="s">
        <v>12</v>
      </c>
      <c r="D34" s="1">
        <v>1.2729999999999999</v>
      </c>
      <c r="E34" s="1">
        <v>6.125</v>
      </c>
      <c r="F34" s="1">
        <f t="shared" si="0"/>
        <v>4.8520000000000003</v>
      </c>
      <c r="G34">
        <v>5.2649999999999997</v>
      </c>
      <c r="H34" s="1">
        <f t="shared" si="1"/>
        <v>3.992</v>
      </c>
      <c r="I34" s="1">
        <f t="shared" si="2"/>
        <v>0.86000000000000032</v>
      </c>
      <c r="J34" s="1">
        <f t="shared" si="3"/>
        <v>17.724649629018966</v>
      </c>
    </row>
    <row r="35" spans="1:10" x14ac:dyDescent="0.2">
      <c r="A35" s="1" t="s">
        <v>44</v>
      </c>
      <c r="B35" s="1" t="s">
        <v>48</v>
      </c>
      <c r="C35" s="1" t="s">
        <v>12</v>
      </c>
      <c r="D35" s="1">
        <v>1.2649999999999999</v>
      </c>
      <c r="E35" s="1">
        <v>6.2629999999999999</v>
      </c>
      <c r="F35" s="1">
        <f t="shared" si="0"/>
        <v>4.9980000000000002</v>
      </c>
      <c r="G35">
        <v>5.4329999999999998</v>
      </c>
      <c r="H35" s="1">
        <f t="shared" si="1"/>
        <v>4.1680000000000001</v>
      </c>
      <c r="I35" s="1">
        <f t="shared" si="2"/>
        <v>0.83000000000000007</v>
      </c>
      <c r="J35" s="1">
        <f t="shared" si="3"/>
        <v>16.606642657062824</v>
      </c>
    </row>
    <row r="36" spans="1:10" x14ac:dyDescent="0.2">
      <c r="A36" s="1" t="s">
        <v>44</v>
      </c>
      <c r="B36" s="1" t="s">
        <v>49</v>
      </c>
      <c r="C36" s="1" t="s">
        <v>12</v>
      </c>
      <c r="D36" s="1">
        <v>1.27</v>
      </c>
      <c r="E36" s="1">
        <v>5.774</v>
      </c>
      <c r="F36" s="1">
        <f t="shared" si="0"/>
        <v>4.5039999999999996</v>
      </c>
      <c r="G36">
        <v>5.1029999999999998</v>
      </c>
      <c r="H36" s="1">
        <f t="shared" si="1"/>
        <v>3.8329999999999997</v>
      </c>
      <c r="I36" s="1">
        <f t="shared" si="2"/>
        <v>0.67099999999999982</v>
      </c>
      <c r="J36" s="1">
        <f t="shared" si="3"/>
        <v>14.897868561278859</v>
      </c>
    </row>
    <row r="37" spans="1:10" x14ac:dyDescent="0.2">
      <c r="A37" s="1" t="s">
        <v>44</v>
      </c>
      <c r="B37" s="1" t="s">
        <v>50</v>
      </c>
      <c r="C37" s="1" t="s">
        <v>12</v>
      </c>
      <c r="D37" s="1">
        <v>1.2669999999999999</v>
      </c>
      <c r="E37" s="1">
        <v>5.7750000000000004</v>
      </c>
      <c r="F37" s="1">
        <f t="shared" si="0"/>
        <v>4.5080000000000009</v>
      </c>
      <c r="G37">
        <v>4.9770000000000003</v>
      </c>
      <c r="H37" s="1">
        <f t="shared" si="1"/>
        <v>3.7100000000000004</v>
      </c>
      <c r="I37" s="1">
        <f t="shared" si="2"/>
        <v>0.79800000000000049</v>
      </c>
      <c r="J37" s="1">
        <f t="shared" si="3"/>
        <v>17.701863354037275</v>
      </c>
    </row>
    <row r="38" spans="1:10" x14ac:dyDescent="0.2">
      <c r="A38" s="1" t="s">
        <v>44</v>
      </c>
      <c r="B38" s="1" t="s">
        <v>51</v>
      </c>
      <c r="C38" s="1" t="s">
        <v>12</v>
      </c>
      <c r="D38" s="1">
        <v>1.2709999999999999</v>
      </c>
      <c r="E38" s="1">
        <v>6.1509999999999998</v>
      </c>
      <c r="F38" s="1">
        <f t="shared" si="0"/>
        <v>4.88</v>
      </c>
      <c r="G38">
        <v>5.444</v>
      </c>
      <c r="H38" s="1">
        <f t="shared" si="1"/>
        <v>4.173</v>
      </c>
      <c r="I38" s="1">
        <f t="shared" si="2"/>
        <v>0.70699999999999985</v>
      </c>
      <c r="J38" s="1">
        <f t="shared" si="3"/>
        <v>14.487704918032785</v>
      </c>
    </row>
    <row r="39" spans="1:10" x14ac:dyDescent="0.2">
      <c r="A39" s="1" t="s">
        <v>44</v>
      </c>
      <c r="B39" s="1" t="s">
        <v>52</v>
      </c>
      <c r="C39" s="1" t="s">
        <v>12</v>
      </c>
      <c r="D39" s="1">
        <v>1.2729999999999999</v>
      </c>
      <c r="E39" s="1">
        <v>5.8040000000000003</v>
      </c>
      <c r="F39" s="1">
        <f t="shared" si="0"/>
        <v>4.5310000000000006</v>
      </c>
      <c r="G39">
        <v>5.0670000000000002</v>
      </c>
      <c r="H39" s="1">
        <f t="shared" si="1"/>
        <v>3.7940000000000005</v>
      </c>
      <c r="I39" s="1">
        <f t="shared" si="2"/>
        <v>0.7370000000000001</v>
      </c>
      <c r="J39" s="1">
        <f t="shared" si="3"/>
        <v>16.265725005517545</v>
      </c>
    </row>
    <row r="40" spans="1:10" x14ac:dyDescent="0.2">
      <c r="A40" s="1" t="s">
        <v>44</v>
      </c>
      <c r="B40" s="1" t="s">
        <v>53</v>
      </c>
      <c r="C40" s="1" t="s">
        <v>12</v>
      </c>
      <c r="D40" s="1">
        <v>1.274</v>
      </c>
      <c r="E40" s="1">
        <v>6.2720000000000002</v>
      </c>
      <c r="F40" s="1">
        <f t="shared" si="0"/>
        <v>4.9980000000000002</v>
      </c>
      <c r="G40">
        <v>5.4370000000000003</v>
      </c>
      <c r="H40" s="1">
        <f t="shared" si="1"/>
        <v>4.1630000000000003</v>
      </c>
      <c r="I40" s="1">
        <f t="shared" si="2"/>
        <v>0.83499999999999996</v>
      </c>
      <c r="J40" s="1">
        <f t="shared" si="3"/>
        <v>16.706682673069224</v>
      </c>
    </row>
    <row r="41" spans="1:10" x14ac:dyDescent="0.2">
      <c r="A41" s="1" t="s">
        <v>44</v>
      </c>
      <c r="B41" s="1" t="s">
        <v>54</v>
      </c>
      <c r="C41" s="1" t="s">
        <v>12</v>
      </c>
      <c r="D41" s="1">
        <v>1.2689999999999999</v>
      </c>
      <c r="E41" s="1">
        <v>6.1689999999999996</v>
      </c>
      <c r="F41" s="1">
        <f t="shared" si="0"/>
        <v>4.8999999999999995</v>
      </c>
      <c r="G41">
        <v>5.3819999999999997</v>
      </c>
      <c r="H41" s="1">
        <f t="shared" si="1"/>
        <v>4.1129999999999995</v>
      </c>
      <c r="I41" s="1">
        <f t="shared" si="2"/>
        <v>0.78699999999999992</v>
      </c>
      <c r="J41" s="1">
        <f t="shared" si="3"/>
        <v>16.061224489795919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AD60-3732-4FB3-9481-F640F909E463}">
  <dimension ref="A1:L41"/>
  <sheetViews>
    <sheetView tabSelected="1" workbookViewId="0">
      <selection activeCell="D9" sqref="D9"/>
    </sheetView>
  </sheetViews>
  <sheetFormatPr defaultRowHeight="12.75" x14ac:dyDescent="0.2"/>
  <cols>
    <col min="2" max="2" width="12.85546875" customWidth="1"/>
    <col min="4" max="4" width="14.5703125" customWidth="1"/>
    <col min="11" max="11" width="9.140625" hidden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</row>
    <row r="2" spans="1:12" x14ac:dyDescent="0.2">
      <c r="A2" s="1" t="s">
        <v>10</v>
      </c>
      <c r="B2" s="1" t="s">
        <v>55</v>
      </c>
      <c r="C2" s="1" t="s">
        <v>56</v>
      </c>
      <c r="D2">
        <v>2.605</v>
      </c>
      <c r="E2" s="1">
        <v>0.56799999999999995</v>
      </c>
    </row>
    <row r="3" spans="1:12" x14ac:dyDescent="0.2">
      <c r="A3" s="1" t="s">
        <v>10</v>
      </c>
      <c r="B3" s="1" t="s">
        <v>57</v>
      </c>
      <c r="C3" s="1" t="s">
        <v>56</v>
      </c>
      <c r="D3">
        <v>2.758</v>
      </c>
      <c r="E3" s="1">
        <v>0.59299999999999997</v>
      </c>
    </row>
    <row r="4" spans="1:12" x14ac:dyDescent="0.2">
      <c r="A4" s="1" t="s">
        <v>10</v>
      </c>
      <c r="B4" s="1" t="s">
        <v>58</v>
      </c>
      <c r="C4" s="1" t="s">
        <v>56</v>
      </c>
      <c r="D4">
        <v>3.1509999999999998</v>
      </c>
      <c r="E4" s="1">
        <v>0.34699999999999998</v>
      </c>
    </row>
    <row r="5" spans="1:12" x14ac:dyDescent="0.2">
      <c r="A5" s="1" t="s">
        <v>10</v>
      </c>
      <c r="B5" s="1" t="s">
        <v>59</v>
      </c>
      <c r="C5" s="1" t="s">
        <v>56</v>
      </c>
      <c r="D5">
        <v>3.125</v>
      </c>
      <c r="E5" s="1">
        <v>0.81</v>
      </c>
    </row>
    <row r="6" spans="1:12" x14ac:dyDescent="0.2">
      <c r="A6" s="1" t="s">
        <v>10</v>
      </c>
      <c r="B6" s="1" t="s">
        <v>60</v>
      </c>
      <c r="C6" s="1" t="s">
        <v>56</v>
      </c>
      <c r="D6">
        <v>2.7669999999999999</v>
      </c>
      <c r="E6" s="1">
        <v>5.2999999999999999E-2</v>
      </c>
    </row>
    <row r="7" spans="1:12" x14ac:dyDescent="0.2">
      <c r="A7" s="1" t="s">
        <v>10</v>
      </c>
      <c r="B7" s="1" t="s">
        <v>61</v>
      </c>
      <c r="C7" s="1" t="s">
        <v>56</v>
      </c>
      <c r="D7">
        <f>2.898+0.018</f>
        <v>2.9159999999999999</v>
      </c>
      <c r="E7" s="1">
        <v>0.374</v>
      </c>
    </row>
    <row r="8" spans="1:12" x14ac:dyDescent="0.2">
      <c r="A8" s="1" t="s">
        <v>10</v>
      </c>
      <c r="B8" s="1" t="s">
        <v>62</v>
      </c>
      <c r="C8" s="1" t="s">
        <v>56</v>
      </c>
      <c r="D8">
        <v>3.87</v>
      </c>
      <c r="E8" s="1">
        <v>0.621</v>
      </c>
    </row>
    <row r="9" spans="1:12" x14ac:dyDescent="0.2">
      <c r="A9" s="1" t="s">
        <v>10</v>
      </c>
      <c r="B9" s="1" t="s">
        <v>63</v>
      </c>
      <c r="C9" s="1" t="s">
        <v>56</v>
      </c>
      <c r="D9">
        <v>3.0950000000000002</v>
      </c>
      <c r="E9" s="1">
        <v>0.88400000000000001</v>
      </c>
    </row>
    <row r="10" spans="1:12" x14ac:dyDescent="0.2">
      <c r="A10" s="1" t="s">
        <v>10</v>
      </c>
      <c r="B10" s="1" t="s">
        <v>64</v>
      </c>
      <c r="C10" s="1" t="s">
        <v>56</v>
      </c>
      <c r="D10">
        <v>2.2040000000000002</v>
      </c>
      <c r="E10" s="1">
        <v>0.503</v>
      </c>
      <c r="L10" s="1">
        <f>2.898 + 0.018</f>
        <v>2.9159999999999999</v>
      </c>
    </row>
    <row r="11" spans="1:12" x14ac:dyDescent="0.2">
      <c r="A11" s="1" t="s">
        <v>10</v>
      </c>
      <c r="B11" s="1" t="s">
        <v>65</v>
      </c>
      <c r="C11" s="1" t="s">
        <v>56</v>
      </c>
      <c r="D11">
        <v>2.7669999999999999</v>
      </c>
      <c r="E11" s="1">
        <v>0.58199999999999996</v>
      </c>
    </row>
    <row r="12" spans="1:12" x14ac:dyDescent="0.2">
      <c r="A12" s="1" t="s">
        <v>22</v>
      </c>
      <c r="B12" s="1" t="s">
        <v>66</v>
      </c>
      <c r="C12" s="1" t="s">
        <v>56</v>
      </c>
      <c r="D12">
        <v>3.8149999999999999</v>
      </c>
      <c r="E12" s="1">
        <v>0.03</v>
      </c>
    </row>
    <row r="13" spans="1:12" x14ac:dyDescent="0.2">
      <c r="A13" s="1" t="s">
        <v>22</v>
      </c>
      <c r="B13" s="1" t="s">
        <v>67</v>
      </c>
      <c r="C13" s="1" t="s">
        <v>56</v>
      </c>
      <c r="D13">
        <v>4.0650000000000004</v>
      </c>
      <c r="E13" s="1">
        <v>0.16200000000000001</v>
      </c>
    </row>
    <row r="14" spans="1:12" x14ac:dyDescent="0.2">
      <c r="A14" s="1" t="s">
        <v>22</v>
      </c>
      <c r="B14" s="1" t="s">
        <v>68</v>
      </c>
      <c r="C14" s="1" t="s">
        <v>56</v>
      </c>
      <c r="D14">
        <v>7.1719999999999997</v>
      </c>
      <c r="E14" s="1">
        <v>0.39300000000000002</v>
      </c>
    </row>
    <row r="15" spans="1:12" x14ac:dyDescent="0.2">
      <c r="A15" s="1" t="s">
        <v>22</v>
      </c>
      <c r="B15" s="1" t="s">
        <v>69</v>
      </c>
      <c r="C15" s="1" t="s">
        <v>56</v>
      </c>
      <c r="D15">
        <v>3.4159999999999999</v>
      </c>
      <c r="E15" s="1">
        <v>8.4000000000000005E-2</v>
      </c>
    </row>
    <row r="16" spans="1:12" x14ac:dyDescent="0.2">
      <c r="A16" s="1" t="s">
        <v>22</v>
      </c>
      <c r="B16" s="1" t="s">
        <v>70</v>
      </c>
      <c r="C16" s="1" t="s">
        <v>56</v>
      </c>
      <c r="D16">
        <v>1.986</v>
      </c>
      <c r="E16" s="1">
        <v>0.36799999999999999</v>
      </c>
    </row>
    <row r="17" spans="1:5" x14ac:dyDescent="0.2">
      <c r="A17" s="1" t="s">
        <v>22</v>
      </c>
      <c r="B17" s="1" t="s">
        <v>71</v>
      </c>
      <c r="C17" s="1" t="s">
        <v>56</v>
      </c>
      <c r="D17">
        <v>1.357</v>
      </c>
      <c r="E17" s="1">
        <v>6.9000000000000006E-2</v>
      </c>
    </row>
    <row r="18" spans="1:5" x14ac:dyDescent="0.2">
      <c r="A18" s="1" t="s">
        <v>22</v>
      </c>
      <c r="B18" s="1" t="s">
        <v>72</v>
      </c>
      <c r="C18" s="1" t="s">
        <v>56</v>
      </c>
      <c r="D18">
        <v>5.0460000000000003</v>
      </c>
      <c r="E18" s="1">
        <v>0.14799999999999999</v>
      </c>
    </row>
    <row r="19" spans="1:5" x14ac:dyDescent="0.2">
      <c r="A19" s="1" t="s">
        <v>22</v>
      </c>
      <c r="B19" s="1" t="s">
        <v>73</v>
      </c>
      <c r="C19" s="1" t="s">
        <v>56</v>
      </c>
      <c r="D19">
        <v>1.552</v>
      </c>
      <c r="E19" s="1">
        <v>5.7000000000000002E-2</v>
      </c>
    </row>
    <row r="20" spans="1:5" x14ac:dyDescent="0.2">
      <c r="A20" s="1" t="s">
        <v>22</v>
      </c>
      <c r="B20" s="1" t="s">
        <v>74</v>
      </c>
      <c r="C20" s="1" t="s">
        <v>56</v>
      </c>
      <c r="D20">
        <v>2.484</v>
      </c>
      <c r="E20" s="1">
        <v>2.8000000000000001E-2</v>
      </c>
    </row>
    <row r="21" spans="1:5" x14ac:dyDescent="0.2">
      <c r="A21" s="1" t="s">
        <v>22</v>
      </c>
      <c r="B21" s="1" t="s">
        <v>75</v>
      </c>
      <c r="C21" s="1" t="s">
        <v>56</v>
      </c>
      <c r="D21">
        <v>4.4820000000000002</v>
      </c>
      <c r="E21" s="1">
        <v>0.33200000000000002</v>
      </c>
    </row>
    <row r="22" spans="1:5" x14ac:dyDescent="0.2">
      <c r="A22" s="1" t="s">
        <v>33</v>
      </c>
      <c r="B22" s="1" t="s">
        <v>76</v>
      </c>
      <c r="C22" s="1" t="s">
        <v>56</v>
      </c>
    </row>
    <row r="23" spans="1:5" x14ac:dyDescent="0.2">
      <c r="A23" s="1" t="s">
        <v>33</v>
      </c>
      <c r="B23" s="1" t="s">
        <v>77</v>
      </c>
      <c r="C23" s="1" t="s">
        <v>56</v>
      </c>
    </row>
    <row r="24" spans="1:5" x14ac:dyDescent="0.2">
      <c r="A24" s="1" t="s">
        <v>33</v>
      </c>
      <c r="B24" s="1" t="s">
        <v>78</v>
      </c>
      <c r="C24" s="1" t="s">
        <v>56</v>
      </c>
    </row>
    <row r="25" spans="1:5" x14ac:dyDescent="0.2">
      <c r="A25" s="1" t="s">
        <v>33</v>
      </c>
      <c r="B25" s="1" t="s">
        <v>79</v>
      </c>
      <c r="C25" s="1" t="s">
        <v>56</v>
      </c>
    </row>
    <row r="26" spans="1:5" x14ac:dyDescent="0.2">
      <c r="A26" s="1" t="s">
        <v>33</v>
      </c>
      <c r="B26" s="1" t="s">
        <v>80</v>
      </c>
      <c r="C26" s="1" t="s">
        <v>56</v>
      </c>
    </row>
    <row r="27" spans="1:5" x14ac:dyDescent="0.2">
      <c r="A27" s="1" t="s">
        <v>33</v>
      </c>
      <c r="B27" s="1" t="s">
        <v>81</v>
      </c>
      <c r="C27" s="1" t="s">
        <v>56</v>
      </c>
    </row>
    <row r="28" spans="1:5" x14ac:dyDescent="0.2">
      <c r="A28" s="1" t="s">
        <v>33</v>
      </c>
      <c r="B28" s="1" t="s">
        <v>82</v>
      </c>
      <c r="C28" s="1" t="s">
        <v>56</v>
      </c>
    </row>
    <row r="29" spans="1:5" x14ac:dyDescent="0.2">
      <c r="A29" s="1" t="s">
        <v>33</v>
      </c>
      <c r="B29" s="1" t="s">
        <v>83</v>
      </c>
      <c r="C29" s="1" t="s">
        <v>56</v>
      </c>
    </row>
    <row r="30" spans="1:5" x14ac:dyDescent="0.2">
      <c r="A30" s="1" t="s">
        <v>33</v>
      </c>
      <c r="B30" s="1" t="s">
        <v>84</v>
      </c>
      <c r="C30" s="1" t="s">
        <v>56</v>
      </c>
    </row>
    <row r="31" spans="1:5" x14ac:dyDescent="0.2">
      <c r="A31" s="1" t="s">
        <v>33</v>
      </c>
      <c r="B31" s="1" t="s">
        <v>85</v>
      </c>
      <c r="C31" s="1" t="s">
        <v>56</v>
      </c>
    </row>
    <row r="32" spans="1:5" x14ac:dyDescent="0.2">
      <c r="A32" s="1" t="s">
        <v>44</v>
      </c>
      <c r="B32" s="1" t="s">
        <v>86</v>
      </c>
      <c r="C32" s="1" t="s">
        <v>56</v>
      </c>
      <c r="D32">
        <v>2.343</v>
      </c>
      <c r="E32" s="1">
        <v>0.35499999999999998</v>
      </c>
    </row>
    <row r="33" spans="1:5" x14ac:dyDescent="0.2">
      <c r="A33" s="1" t="s">
        <v>44</v>
      </c>
      <c r="B33" s="1" t="s">
        <v>87</v>
      </c>
      <c r="C33" s="1" t="s">
        <v>56</v>
      </c>
      <c r="D33">
        <v>2.379</v>
      </c>
      <c r="E33" s="1">
        <v>0.34599999999999997</v>
      </c>
    </row>
    <row r="34" spans="1:5" x14ac:dyDescent="0.2">
      <c r="A34" s="1" t="s">
        <v>44</v>
      </c>
      <c r="B34" s="1" t="s">
        <v>88</v>
      </c>
      <c r="C34" s="1" t="s">
        <v>56</v>
      </c>
      <c r="D34">
        <v>2.496</v>
      </c>
      <c r="E34" s="1">
        <v>0.13700000000000001</v>
      </c>
    </row>
    <row r="35" spans="1:5" x14ac:dyDescent="0.2">
      <c r="A35" s="1" t="s">
        <v>44</v>
      </c>
      <c r="B35" s="1" t="s">
        <v>89</v>
      </c>
      <c r="C35" s="1" t="s">
        <v>56</v>
      </c>
      <c r="D35">
        <v>2.823</v>
      </c>
      <c r="E35" s="1">
        <v>0.45600000000000002</v>
      </c>
    </row>
    <row r="36" spans="1:5" x14ac:dyDescent="0.2">
      <c r="A36" s="1" t="s">
        <v>44</v>
      </c>
      <c r="B36" s="1" t="s">
        <v>90</v>
      </c>
      <c r="C36" s="1" t="s">
        <v>56</v>
      </c>
      <c r="D36">
        <v>2.6749999999999998</v>
      </c>
      <c r="E36" s="1">
        <v>0.218</v>
      </c>
    </row>
    <row r="37" spans="1:5" x14ac:dyDescent="0.2">
      <c r="A37" s="1" t="s">
        <v>44</v>
      </c>
      <c r="B37" s="1" t="s">
        <v>91</v>
      </c>
      <c r="C37" s="1" t="s">
        <v>56</v>
      </c>
      <c r="D37">
        <v>4.43</v>
      </c>
      <c r="E37" s="1">
        <v>0.36799999999999999</v>
      </c>
    </row>
    <row r="38" spans="1:5" x14ac:dyDescent="0.2">
      <c r="A38" s="1" t="s">
        <v>44</v>
      </c>
      <c r="B38" s="1" t="s">
        <v>92</v>
      </c>
      <c r="C38" s="1" t="s">
        <v>56</v>
      </c>
      <c r="D38">
        <v>3.0339999999999998</v>
      </c>
      <c r="E38" s="1">
        <v>0.48299999999999998</v>
      </c>
    </row>
    <row r="39" spans="1:5" x14ac:dyDescent="0.2">
      <c r="A39" s="1" t="s">
        <v>44</v>
      </c>
      <c r="B39" s="1" t="s">
        <v>93</v>
      </c>
      <c r="C39" s="1" t="s">
        <v>56</v>
      </c>
      <c r="D39">
        <v>1.9610000000000001</v>
      </c>
      <c r="E39" s="1">
        <v>5.1999999999999998E-2</v>
      </c>
    </row>
    <row r="40" spans="1:5" x14ac:dyDescent="0.2">
      <c r="A40" s="1" t="s">
        <v>44</v>
      </c>
      <c r="B40" s="1" t="s">
        <v>94</v>
      </c>
      <c r="C40" s="1" t="s">
        <v>56</v>
      </c>
      <c r="D40">
        <v>2.4420000000000002</v>
      </c>
      <c r="E40" s="1">
        <v>0.86899999999999999</v>
      </c>
    </row>
    <row r="41" spans="1:5" x14ac:dyDescent="0.2">
      <c r="A41" s="1" t="s">
        <v>44</v>
      </c>
      <c r="B41" s="1" t="s">
        <v>95</v>
      </c>
      <c r="C41" s="1" t="s">
        <v>56</v>
      </c>
      <c r="D41">
        <v>3.46</v>
      </c>
      <c r="E41" s="1">
        <v>0.87</v>
      </c>
    </row>
  </sheetData>
  <printOptions gridLine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Baseline</vt:lpstr>
      <vt:lpstr>Harvest</vt:lpstr>
      <vt:lpstr>Harvest!Print_Area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</dc:creator>
  <cp:keywords/>
  <dc:description/>
  <cp:lastModifiedBy>Jay Prakash Singh</cp:lastModifiedBy>
  <cp:revision/>
  <dcterms:created xsi:type="dcterms:W3CDTF">2022-05-25T20:04:39Z</dcterms:created>
  <dcterms:modified xsi:type="dcterms:W3CDTF">2025-10-24T18:53:33Z</dcterms:modified>
  <cp:category/>
  <cp:contentStatus/>
</cp:coreProperties>
</file>